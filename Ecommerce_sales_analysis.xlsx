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ni\OneDrive\Documents\"/>
    </mc:Choice>
  </mc:AlternateContent>
  <xr:revisionPtr revIDLastSave="0" documentId="8_{5DC2B757-E25B-4BB4-944D-40A749EFBF52}" xr6:coauthVersionLast="47" xr6:coauthVersionMax="47" xr10:uidLastSave="{00000000-0000-0000-0000-000000000000}"/>
  <bookViews>
    <workbookView xWindow="-108" yWindow="-108" windowWidth="23256" windowHeight="12456" activeTab="3" xr2:uid="{3A52ED15-5F6B-4F0A-A627-2392264F03B1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C23" i="1" s="1"/>
  <c r="J5" i="1"/>
  <c r="C11" i="1" s="1"/>
  <c r="J6" i="1"/>
  <c r="J3" i="1"/>
  <c r="C22" i="1" s="1"/>
  <c r="J2" i="1"/>
  <c r="C17" i="1" l="1"/>
  <c r="J7" i="1"/>
  <c r="C21" i="1"/>
  <c r="C10" i="1"/>
  <c r="C15" i="1"/>
  <c r="C16" i="1"/>
</calcChain>
</file>

<file path=xl/sharedStrings.xml><?xml version="1.0" encoding="utf-8"?>
<sst xmlns="http://schemas.openxmlformats.org/spreadsheetml/2006/main" count="71" uniqueCount="39">
  <si>
    <t>Order_ID</t>
  </si>
  <si>
    <t>Order_Date</t>
  </si>
  <si>
    <t>Customer_Name</t>
  </si>
  <si>
    <t>Product</t>
  </si>
  <si>
    <t>Category</t>
  </si>
  <si>
    <t>Quantity</t>
  </si>
  <si>
    <t>Unit_Price</t>
  </si>
  <si>
    <t>Payment_mode</t>
  </si>
  <si>
    <t>City</t>
  </si>
  <si>
    <t>ORD001</t>
  </si>
  <si>
    <t>ORD002</t>
  </si>
  <si>
    <t>ORD003</t>
  </si>
  <si>
    <t>ORD004</t>
  </si>
  <si>
    <t>ORD005</t>
  </si>
  <si>
    <t>Ravi</t>
  </si>
  <si>
    <t>Priya</t>
  </si>
  <si>
    <t>Anil</t>
  </si>
  <si>
    <t>Sita</t>
  </si>
  <si>
    <t>Kiran</t>
  </si>
  <si>
    <t>Laptop</t>
  </si>
  <si>
    <t>Headphones</t>
  </si>
  <si>
    <t>T-shirt</t>
  </si>
  <si>
    <t>Shoes</t>
  </si>
  <si>
    <t>Mobile</t>
  </si>
  <si>
    <t>Total _sales</t>
  </si>
  <si>
    <t>Electronics</t>
  </si>
  <si>
    <t>Fashion</t>
  </si>
  <si>
    <t>UPI</t>
  </si>
  <si>
    <t>CARD</t>
  </si>
  <si>
    <t>CASH</t>
  </si>
  <si>
    <t>Hyderabad</t>
  </si>
  <si>
    <t>Bangalore</t>
  </si>
  <si>
    <t>chennai</t>
  </si>
  <si>
    <t>Total_sales</t>
  </si>
  <si>
    <t>Payment_Mode</t>
  </si>
  <si>
    <t>Total Sales</t>
  </si>
  <si>
    <t>Sum of Total _sales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</si>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</sst>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251000</c:v>
                </c:pt>
                <c:pt idx="1">
                  <c:v>22100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E-4366-AABA-F3CAEAC5D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50896"/>
        <c:axId val="54298160"/>
      </c:barChart>
      <c:catAx>
        <c:axId val="664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8160"/>
        <c:crosses val="autoZero"/>
        <c:auto val="1"/>
        <c:lblAlgn val="ctr"/>
        <c:lblOffset val="100"/>
        <c:noMultiLvlLbl val="0"/>
      </c:catAx>
      <c:valAx>
        <c:axId val="542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141000</c:v>
                </c:pt>
                <c:pt idx="1">
                  <c:v>9600</c:v>
                </c:pt>
                <c:pt idx="2">
                  <c:v>122500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1-473E-B4CF-C8DF35A16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558944"/>
        <c:axId val="2117332720"/>
      </c:barChart>
      <c:catAx>
        <c:axId val="2605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32720"/>
        <c:crosses val="autoZero"/>
        <c:auto val="1"/>
        <c:lblAlgn val="ctr"/>
        <c:lblOffset val="100"/>
        <c:noMultiLvlLbl val="0"/>
      </c:catAx>
      <c:valAx>
        <c:axId val="21173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9000</c:v>
                </c:pt>
                <c:pt idx="1">
                  <c:v>12500</c:v>
                </c:pt>
                <c:pt idx="2">
                  <c:v>251600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5-43C8-89C3-8294092FD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635504"/>
        <c:axId val="54298640"/>
      </c:barChart>
      <c:catAx>
        <c:axId val="29063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8640"/>
        <c:crosses val="autoZero"/>
        <c:auto val="1"/>
        <c:lblAlgn val="ctr"/>
        <c:lblOffset val="100"/>
        <c:noMultiLvlLbl val="0"/>
      </c:catAx>
      <c:valAx>
        <c:axId val="542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3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6</xdr:row>
      <xdr:rowOff>125730</xdr:rowOff>
    </xdr:from>
    <xdr:to>
      <xdr:col>10</xdr:col>
      <xdr:colOff>396240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4AC33-260D-2272-BE52-5266EE005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7</xdr:row>
      <xdr:rowOff>102870</xdr:rowOff>
    </xdr:from>
    <xdr:to>
      <xdr:col>11</xdr:col>
      <xdr:colOff>198120</xdr:colOff>
      <xdr:row>22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3AC46-4315-D632-3CF3-6C4280513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8</xdr:row>
      <xdr:rowOff>11430</xdr:rowOff>
    </xdr:from>
    <xdr:to>
      <xdr:col>10</xdr:col>
      <xdr:colOff>365760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713B8-DA41-E880-306B-C4BE72C01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" refreshedDate="46260.547815509257" createdVersion="8" refreshedVersion="8" minRefreshableVersion="3" recordCount="6" xr:uid="{0E78CE84-2C85-446D-BB79-BD0A3066C332}">
  <cacheSource type="worksheet">
    <worksheetSource name="Table1"/>
  </cacheSource>
  <cacheFields count="10">
    <cacheField name="Order_ID" numFmtId="0">
      <sharedItems containsBlank="1"/>
    </cacheField>
    <cacheField name="Order_Date" numFmtId="0">
      <sharedItems containsNonDate="0" containsDate="1" containsString="0" containsBlank="1" minDate="2026-08-01T00:00:00" maxDate="2026-08-06T00:00:00"/>
    </cacheField>
    <cacheField name="Customer_Name" numFmtId="0">
      <sharedItems containsBlank="1"/>
    </cacheField>
    <cacheField name="Product" numFmtId="0">
      <sharedItems containsBlank="1"/>
    </cacheField>
    <cacheField name="Category" numFmtId="0">
      <sharedItems containsBlank="1" count="3">
        <s v="Electronics"/>
        <s v="Fashion"/>
        <m/>
      </sharedItems>
    </cacheField>
    <cacheField name="Quantity" numFmtId="0">
      <sharedItems containsString="0" containsBlank="1" containsNumber="1" containsInteger="1" minValue="2" maxValue="6"/>
    </cacheField>
    <cacheField name="Unit_Price" numFmtId="0">
      <sharedItems containsString="0" containsBlank="1" containsNumber="1" containsInteger="1" minValue="2400" maxValue="55000"/>
    </cacheField>
    <cacheField name="Payment_mode" numFmtId="0">
      <sharedItems containsBlank="1" count="4">
        <s v="UPI"/>
        <s v="CARD"/>
        <s v="CASH"/>
        <m/>
      </sharedItems>
    </cacheField>
    <cacheField name="City" numFmtId="0">
      <sharedItems containsBlank="1" count="4">
        <s v="Hyderabad"/>
        <s v="Bangalore"/>
        <s v="chennai"/>
        <m/>
      </sharedItems>
    </cacheField>
    <cacheField name="Total _sales" numFmtId="0">
      <sharedItems containsSemiMixedTypes="0" containsString="0" containsNumber="1" containsInteger="1" minValue="9000" maxValue="273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ORD001"/>
    <d v="2026-08-01T00:00:00"/>
    <s v="Ravi"/>
    <s v="Laptop"/>
    <x v="0"/>
    <n v="2"/>
    <n v="55000"/>
    <x v="0"/>
    <x v="0"/>
    <n v="110000"/>
  </r>
  <r>
    <s v="ORD002"/>
    <d v="2026-08-02T00:00:00"/>
    <s v="Priya"/>
    <s v="Headphones"/>
    <x v="0"/>
    <n v="3"/>
    <n v="3000"/>
    <x v="1"/>
    <x v="1"/>
    <n v="9000"/>
  </r>
  <r>
    <s v="ORD003"/>
    <d v="2026-08-03T00:00:00"/>
    <s v="Anil"/>
    <s v="T-shirt"/>
    <x v="1"/>
    <n v="4"/>
    <n v="2400"/>
    <x v="0"/>
    <x v="2"/>
    <n v="9600"/>
  </r>
  <r>
    <s v="ORD004"/>
    <d v="2026-08-04T00:00:00"/>
    <s v="Sita"/>
    <s v="Shoes"/>
    <x v="1"/>
    <n v="5"/>
    <n v="2500"/>
    <x v="2"/>
    <x v="0"/>
    <n v="12500"/>
  </r>
  <r>
    <s v="ORD005"/>
    <d v="2026-08-05T00:00:00"/>
    <s v="Kiran"/>
    <s v="Mobile"/>
    <x v="0"/>
    <n v="6"/>
    <n v="22000"/>
    <x v="0"/>
    <x v="1"/>
    <n v="132000"/>
  </r>
  <r>
    <m/>
    <m/>
    <m/>
    <m/>
    <x v="2"/>
    <m/>
    <m/>
    <x v="3"/>
    <x v="3"/>
    <n v="273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F0AC1-A297-4FA2-B83B-8A060FF2DAA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0"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_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93F46-452C-4002-BCDE-DEED685F283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_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9C865-342E-4351-8735-B3477675BC8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_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77588-AA1E-4AA5-84C1-090726F85D56}" name="Table1" displayName="Table1" ref="A1:J7" totalsRowShown="0" headerRowDxfId="2">
  <autoFilter ref="A1:J7" xr:uid="{C3F77588-AA1E-4AA5-84C1-090726F85D56}"/>
  <tableColumns count="10">
    <tableColumn id="1" xr3:uid="{7747B0D1-24DF-4D88-B145-E96DE4095BD9}" name="Order_ID"/>
    <tableColumn id="2" xr3:uid="{D748C8C4-C828-4499-9C6C-55B4B1D9EA29}" name="Order_Date" dataDxfId="1"/>
    <tableColumn id="3" xr3:uid="{885861DC-9A33-4C62-8D6E-0237470A0EA8}" name="Customer_Name"/>
    <tableColumn id="4" xr3:uid="{E93E3F13-F7D1-410A-9F63-4B4BE9F3C30D}" name="Product"/>
    <tableColumn id="5" xr3:uid="{8A324D95-EB29-4E08-A3A9-1923C8B06572}" name="Category"/>
    <tableColumn id="6" xr3:uid="{27FDF5E6-1925-4CFF-B3A0-CE52FE833A28}" name="Quantity"/>
    <tableColumn id="7" xr3:uid="{0286523C-FDF8-461D-A52B-E46DA9D446E0}" name="Unit_Price" dataDxfId="0"/>
    <tableColumn id="8" xr3:uid="{05C18520-2FD3-4ECA-9EFD-185B9BD7C5D1}" name="Payment_mode"/>
    <tableColumn id="9" xr3:uid="{2B684488-33DF-4D04-BE85-22714E9792CE}" name="City"/>
    <tableColumn id="10" xr3:uid="{DCB09F08-983F-424E-9527-D4377B72276B}" name="Total 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CA10-BB55-43ED-B0A3-4490803D8854}">
  <dimension ref="A1:J23"/>
  <sheetViews>
    <sheetView workbookViewId="0">
      <selection activeCell="A12" sqref="A12"/>
    </sheetView>
  </sheetViews>
  <sheetFormatPr defaultRowHeight="14.4" x14ac:dyDescent="0.3"/>
  <cols>
    <col min="1" max="1" width="10.44140625" customWidth="1"/>
    <col min="2" max="2" width="14.6640625" bestFit="1" customWidth="1"/>
    <col min="3" max="3" width="17" customWidth="1"/>
    <col min="4" max="4" width="11.109375" customWidth="1"/>
    <col min="5" max="5" width="10.77734375" customWidth="1"/>
    <col min="6" max="6" width="10.21875" customWidth="1"/>
    <col min="7" max="7" width="11.5546875" customWidth="1"/>
    <col min="8" max="8" width="16.33203125" customWidth="1"/>
    <col min="9" max="9" width="11.5546875" customWidth="1"/>
    <col min="10" max="10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</row>
    <row r="2" spans="1:10" x14ac:dyDescent="0.3">
      <c r="A2" t="s">
        <v>9</v>
      </c>
      <c r="B2" s="2">
        <v>46235</v>
      </c>
      <c r="C2" t="s">
        <v>14</v>
      </c>
      <c r="D2" t="s">
        <v>19</v>
      </c>
      <c r="E2" t="s">
        <v>25</v>
      </c>
      <c r="F2">
        <v>2</v>
      </c>
      <c r="G2" s="3">
        <v>55000</v>
      </c>
      <c r="H2" t="s">
        <v>27</v>
      </c>
      <c r="I2" t="s">
        <v>30</v>
      </c>
      <c r="J2">
        <f>F2*G2</f>
        <v>110000</v>
      </c>
    </row>
    <row r="3" spans="1:10" x14ac:dyDescent="0.3">
      <c r="A3" t="s">
        <v>10</v>
      </c>
      <c r="B3" s="2">
        <v>46236</v>
      </c>
      <c r="C3" t="s">
        <v>15</v>
      </c>
      <c r="D3" t="s">
        <v>20</v>
      </c>
      <c r="E3" t="s">
        <v>25</v>
      </c>
      <c r="F3">
        <v>3</v>
      </c>
      <c r="G3" s="3">
        <v>3000</v>
      </c>
      <c r="H3" t="s">
        <v>28</v>
      </c>
      <c r="I3" t="s">
        <v>31</v>
      </c>
      <c r="J3">
        <f>F3*G3</f>
        <v>9000</v>
      </c>
    </row>
    <row r="4" spans="1:10" x14ac:dyDescent="0.3">
      <c r="A4" t="s">
        <v>11</v>
      </c>
      <c r="B4" s="2">
        <v>46237</v>
      </c>
      <c r="C4" t="s">
        <v>16</v>
      </c>
      <c r="D4" t="s">
        <v>21</v>
      </c>
      <c r="E4" t="s">
        <v>26</v>
      </c>
      <c r="F4">
        <v>4</v>
      </c>
      <c r="G4" s="3">
        <v>2400</v>
      </c>
      <c r="H4" t="s">
        <v>27</v>
      </c>
      <c r="I4" t="s">
        <v>32</v>
      </c>
      <c r="J4">
        <f t="shared" ref="J4:J6" si="0">F4*G4</f>
        <v>9600</v>
      </c>
    </row>
    <row r="5" spans="1:10" x14ac:dyDescent="0.3">
      <c r="A5" t="s">
        <v>12</v>
      </c>
      <c r="B5" s="2">
        <v>46238</v>
      </c>
      <c r="C5" t="s">
        <v>17</v>
      </c>
      <c r="D5" t="s">
        <v>22</v>
      </c>
      <c r="E5" t="s">
        <v>26</v>
      </c>
      <c r="F5">
        <v>5</v>
      </c>
      <c r="G5" s="3">
        <v>2500</v>
      </c>
      <c r="H5" t="s">
        <v>29</v>
      </c>
      <c r="I5" t="s">
        <v>30</v>
      </c>
      <c r="J5">
        <f t="shared" si="0"/>
        <v>12500</v>
      </c>
    </row>
    <row r="6" spans="1:10" x14ac:dyDescent="0.3">
      <c r="A6" t="s">
        <v>13</v>
      </c>
      <c r="B6" s="2">
        <v>46239</v>
      </c>
      <c r="C6" t="s">
        <v>18</v>
      </c>
      <c r="D6" t="s">
        <v>23</v>
      </c>
      <c r="E6" t="s">
        <v>25</v>
      </c>
      <c r="F6">
        <v>6</v>
      </c>
      <c r="G6" s="3">
        <v>22000</v>
      </c>
      <c r="H6" t="s">
        <v>27</v>
      </c>
      <c r="I6" t="s">
        <v>31</v>
      </c>
      <c r="J6">
        <f t="shared" si="0"/>
        <v>132000</v>
      </c>
    </row>
    <row r="7" spans="1:10" x14ac:dyDescent="0.3">
      <c r="J7">
        <f>SUM(J2:J6)</f>
        <v>273100</v>
      </c>
    </row>
    <row r="9" spans="1:10" x14ac:dyDescent="0.3">
      <c r="B9" s="1" t="s">
        <v>4</v>
      </c>
      <c r="C9" s="1" t="s">
        <v>33</v>
      </c>
    </row>
    <row r="10" spans="1:10" x14ac:dyDescent="0.3">
      <c r="B10" t="s">
        <v>25</v>
      </c>
      <c r="C10">
        <f>SUMIF(E2:E6,"electronics",J2:J6)</f>
        <v>251000</v>
      </c>
    </row>
    <row r="11" spans="1:10" x14ac:dyDescent="0.3">
      <c r="B11" t="s">
        <v>26</v>
      </c>
      <c r="C11">
        <f>SUMIF(E2:E6,"fashion",J2:J6)</f>
        <v>22100</v>
      </c>
    </row>
    <row r="14" spans="1:10" x14ac:dyDescent="0.3">
      <c r="B14" s="1" t="s">
        <v>34</v>
      </c>
      <c r="C14" s="1" t="s">
        <v>35</v>
      </c>
    </row>
    <row r="15" spans="1:10" x14ac:dyDescent="0.3">
      <c r="B15" t="s">
        <v>27</v>
      </c>
      <c r="C15">
        <f>SUMIF(H2:H6,"UPI",J2:J6)</f>
        <v>251600</v>
      </c>
    </row>
    <row r="16" spans="1:10" x14ac:dyDescent="0.3">
      <c r="B16" t="s">
        <v>28</v>
      </c>
      <c r="C16">
        <f>SUMIF(H2:H6,"card",J2:J6)</f>
        <v>9000</v>
      </c>
    </row>
    <row r="17" spans="2:3" x14ac:dyDescent="0.3">
      <c r="B17" t="s">
        <v>29</v>
      </c>
      <c r="C17">
        <f>SUMIF(H2:H6,"cash",J2:J6)</f>
        <v>12500</v>
      </c>
    </row>
    <row r="19" spans="2:3" x14ac:dyDescent="0.3">
      <c r="B19" s="1"/>
      <c r="C19" s="1"/>
    </row>
    <row r="20" spans="2:3" x14ac:dyDescent="0.3">
      <c r="B20" s="1" t="s">
        <v>8</v>
      </c>
      <c r="C20" s="1" t="s">
        <v>35</v>
      </c>
    </row>
    <row r="21" spans="2:3" x14ac:dyDescent="0.3">
      <c r="B21" t="s">
        <v>30</v>
      </c>
      <c r="C21">
        <f>SUMIF(I2:I6,"hyderabad",J2:J6)</f>
        <v>122500</v>
      </c>
    </row>
    <row r="22" spans="2:3" x14ac:dyDescent="0.3">
      <c r="B22" t="s">
        <v>31</v>
      </c>
      <c r="C22">
        <f>SUMIF(I2:I6,"bangalore",J2:J6)</f>
        <v>141000</v>
      </c>
    </row>
    <row r="23" spans="2:3" x14ac:dyDescent="0.3">
      <c r="B23" t="s">
        <v>32</v>
      </c>
      <c r="C23">
        <f>SUMIF(I2:I6,"chennai",J2:J6)</f>
        <v>9600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6AF8-9848-41AB-A488-0292C4CC5BA5}">
  <dimension ref="A3:B6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25</v>
      </c>
      <c r="B4" s="4">
        <v>251000</v>
      </c>
    </row>
    <row r="5" spans="1:2" x14ac:dyDescent="0.3">
      <c r="A5" s="6" t="s">
        <v>26</v>
      </c>
      <c r="B5" s="4">
        <v>22100</v>
      </c>
    </row>
    <row r="6" spans="1:2" x14ac:dyDescent="0.3">
      <c r="A6" s="6" t="s">
        <v>38</v>
      </c>
      <c r="B6" s="4">
        <v>273100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08E-8D51-4C28-96EA-97A60C9A98AC}">
  <dimension ref="A3:B7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31</v>
      </c>
      <c r="B4" s="4">
        <v>141000</v>
      </c>
    </row>
    <row r="5" spans="1:2" x14ac:dyDescent="0.3">
      <c r="A5" s="6" t="s">
        <v>32</v>
      </c>
      <c r="B5" s="4">
        <v>9600</v>
      </c>
    </row>
    <row r="6" spans="1:2" x14ac:dyDescent="0.3">
      <c r="A6" s="6" t="s">
        <v>30</v>
      </c>
      <c r="B6" s="4">
        <v>122500</v>
      </c>
    </row>
    <row r="7" spans="1:2" x14ac:dyDescent="0.3">
      <c r="A7" s="6" t="s">
        <v>38</v>
      </c>
      <c r="B7" s="4">
        <v>273100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95C5-97B8-449E-8115-E136CA68324B}">
  <dimension ref="A3:B7"/>
  <sheetViews>
    <sheetView tabSelected="1" workbookViewId="0">
      <selection activeCell="F5" sqref="F5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28</v>
      </c>
      <c r="B4" s="4">
        <v>9000</v>
      </c>
    </row>
    <row r="5" spans="1:2" x14ac:dyDescent="0.3">
      <c r="A5" s="6" t="s">
        <v>29</v>
      </c>
      <c r="B5" s="4">
        <v>12500</v>
      </c>
    </row>
    <row r="6" spans="1:2" x14ac:dyDescent="0.3">
      <c r="A6" s="6" t="s">
        <v>27</v>
      </c>
      <c r="B6" s="4">
        <v>251600</v>
      </c>
    </row>
    <row r="7" spans="1:2" x14ac:dyDescent="0.3">
      <c r="A7" s="6" t="s">
        <v>38</v>
      </c>
      <c r="B7" s="4">
        <v>273100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MIDDE KALYANI</dc:creator>
  <cp:lastModifiedBy>MIDDE KALYANI</cp:lastModifiedBy>
  <dcterms:created xsi:type="dcterms:W3CDTF">2026-08-25T10:23:17Z</dcterms:created>
  <dcterms:modified xsi:type="dcterms:W3CDTF">2026-08-26T08:27:05Z</dcterms:modified>
</cp:coreProperties>
</file>